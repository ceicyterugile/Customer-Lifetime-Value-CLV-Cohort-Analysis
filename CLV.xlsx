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 activeTab="2"/>
  </bookViews>
  <sheets>
    <sheet name="clv.sql" sheetId="1" r:id="rId1"/>
    <sheet name="Sheet2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<sst xmlns="http://schemas.openxmlformats.org/spreadsheetml/2006/main" count="194" uniqueCount="170">
  <si>
    <r>
      <rPr>
        <sz val="9"/>
        <color rgb="FF1967D2"/>
        <rFont val="Consolas"/>
        <charset val="134"/>
      </rPr>
      <t>WITH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Registration_Cohort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</si>
  <si>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SELECT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</si>
  <si>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000000"/>
        <rFont val="Consolas"/>
        <charset val="134"/>
      </rPr>
      <t>user_pseudo_id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</si>
  <si>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DATE_TRUNC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MIN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PARSE_DATE</t>
    </r>
    <r>
      <rPr>
        <sz val="9"/>
        <color rgb="FF3C4043"/>
        <rFont val="Consolas"/>
        <charset val="134"/>
      </rPr>
      <t>(</t>
    </r>
    <r>
      <rPr>
        <sz val="9"/>
        <color rgb="FF188038"/>
        <rFont val="Consolas"/>
        <charset val="134"/>
      </rPr>
      <t>'%Y%m%d'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event_date</t>
    </r>
    <r>
      <rPr>
        <sz val="9"/>
        <color rgb="FF3C4043"/>
        <rFont val="Consolas"/>
        <charset val="134"/>
      </rPr>
      <t>))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registration_week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</si>
  <si>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188038"/>
        <rFont val="Consolas"/>
        <charset val="134"/>
      </rPr>
      <t>`turing_data_analytics.raw_events`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</si>
  <si>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WHERE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PARSE_DATE</t>
    </r>
    <r>
      <rPr>
        <sz val="9"/>
        <color rgb="FF3C4043"/>
        <rFont val="Consolas"/>
        <charset val="134"/>
      </rPr>
      <t>(</t>
    </r>
    <r>
      <rPr>
        <sz val="9"/>
        <color rgb="FF188038"/>
        <rFont val="Consolas"/>
        <charset val="134"/>
      </rPr>
      <t>'%Y%m%d'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event_date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BETWEEN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DATE</t>
    </r>
    <r>
      <rPr>
        <sz val="9"/>
        <color rgb="FF202124"/>
        <rFont val="Consolas"/>
        <charset val="134"/>
      </rPr>
      <t xml:space="preserve"> </t>
    </r>
    <r>
      <rPr>
        <sz val="9"/>
        <color rgb="FF188038"/>
        <rFont val="Consolas"/>
        <charset val="134"/>
      </rPr>
      <t>'2020-11-01'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AND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DATE</t>
    </r>
    <r>
      <rPr>
        <sz val="9"/>
        <color rgb="FF202124"/>
        <rFont val="Consolas"/>
        <charset val="134"/>
      </rPr>
      <t xml:space="preserve"> </t>
    </r>
    <r>
      <rPr>
        <sz val="9"/>
        <color rgb="FF188038"/>
        <rFont val="Consolas"/>
        <charset val="134"/>
      </rPr>
      <t>'2021-01-31'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</si>
  <si>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GROUP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user_pseudo_id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</si>
  <si>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</si>
  <si>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Weekly_Purchases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</si>
  <si>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DATE_TRUNC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PARSE_DATE</t>
    </r>
    <r>
      <rPr>
        <sz val="9"/>
        <color rgb="FF3C4043"/>
        <rFont val="Consolas"/>
        <charset val="134"/>
      </rPr>
      <t>(</t>
    </r>
    <r>
      <rPr>
        <sz val="9"/>
        <color rgb="FF188038"/>
        <rFont val="Consolas"/>
        <charset val="134"/>
      </rPr>
      <t>'%Y%m%d'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event_date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purchase_week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</si>
  <si>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000000"/>
        <rFont val="Consolas"/>
        <charset val="134"/>
      </rPr>
      <t>purchase_revenue_in_usd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weekly_revenue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</si>
  <si>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AND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purchase_revenue_in_usd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IS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NOT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</si>
  <si>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GROUP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user_pseudo_id</t>
    </r>
    <r>
      <rPr>
        <sz val="9"/>
        <color rgb="FF202124"/>
        <rFont val="Consolas"/>
        <charset val="134"/>
      </rPr>
      <t xml:space="preserve">, </t>
    </r>
    <r>
      <rPr>
        <sz val="9"/>
        <color rgb="FF1967D2"/>
        <rFont val="Consolas"/>
        <charset val="134"/>
      </rPr>
      <t>DATE_TRUNC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PARSE_DATE</t>
    </r>
    <r>
      <rPr>
        <sz val="9"/>
        <color rgb="FF3C4043"/>
        <rFont val="Consolas"/>
        <charset val="134"/>
      </rPr>
      <t>(</t>
    </r>
    <r>
      <rPr>
        <sz val="9"/>
        <color rgb="FF188038"/>
        <rFont val="Consolas"/>
        <charset val="134"/>
      </rPr>
      <t>'%Y%m%d'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event_date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</si>
  <si>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000000"/>
        <rFont val="Consolas"/>
        <charset val="134"/>
      </rPr>
      <t>Cohort_Revenue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</si>
  <si>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000000"/>
        <rFont val="Consolas"/>
        <charset val="134"/>
      </rPr>
      <t>r.user_pseudo_id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</si>
  <si>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000000"/>
        <rFont val="Consolas"/>
        <charset val="134"/>
      </rPr>
      <t>r.registration_week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</si>
  <si>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</si>
  <si>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1967D2"/>
        <rFont val="Consolas"/>
        <charset val="134"/>
      </rPr>
      <t>DATE_DIFF</t>
    </r>
    <r>
      <rPr>
        <sz val="9"/>
        <color rgb="FF3C4043"/>
        <rFont val="Consolas"/>
        <charset val="134"/>
      </rPr>
      <t>(</t>
    </r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r.registration_week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week_offset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</si>
  <si>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000000"/>
        <rFont val="Consolas"/>
        <charset val="134"/>
      </rPr>
      <t>w.weekly_revenue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</si>
  <si>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Registration_Cohort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</si>
  <si>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LEFT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JOIN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Weekly_Purchases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</si>
  <si>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ON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r.user_pseudo_id</t>
    </r>
    <r>
      <rPr>
        <sz val="9"/>
        <color rgb="FF202124"/>
        <rFont val="Consolas"/>
        <charset val="134"/>
      </rPr>
      <t xml:space="preserve"> = </t>
    </r>
    <r>
      <rPr>
        <sz val="9"/>
        <color rgb="FF000000"/>
        <rFont val="Consolas"/>
        <charset val="134"/>
      </rPr>
      <t>w.user_pseudo_id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</si>
  <si>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AND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&gt;=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r.registration_week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</si>
  <si>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WHERE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IS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OR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DATE_DIFF</t>
    </r>
    <r>
      <rPr>
        <sz val="9"/>
        <color rgb="FF3C4043"/>
        <rFont val="Consolas"/>
        <charset val="134"/>
      </rPr>
      <t>(</t>
    </r>
    <r>
      <rPr>
        <sz val="9"/>
        <color rgb="FF000000"/>
        <rFont val="Consolas"/>
        <charset val="134"/>
      </rPr>
      <t>w.purchase_week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r.registration_week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WEEK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&lt;=</t>
    </r>
    <r>
      <rPr>
        <sz val="9"/>
        <color rgb="FF202124"/>
        <rFont val="Consolas"/>
        <charset val="134"/>
      </rPr>
      <t xml:space="preserve"> </t>
    </r>
    <r>
      <rPr>
        <sz val="9"/>
        <color rgb="FFB06000"/>
        <rFont val="Consolas"/>
        <charset val="134"/>
      </rPr>
      <t>12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</si>
  <si>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000000"/>
        <rFont val="Consolas"/>
        <charset val="134"/>
      </rPr>
      <t>Cohort_Size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</si>
  <si>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000000"/>
        <rFont val="Consolas"/>
        <charset val="134"/>
      </rPr>
      <t>registration_week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</si>
  <si>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1967D2"/>
        <rFont val="Consolas"/>
        <charset val="134"/>
      </rPr>
      <t>COUNT</t>
    </r>
    <r>
      <rPr>
        <sz val="9"/>
        <color rgb="FF3C4043"/>
        <rFont val="Consolas"/>
        <charset val="134"/>
      </rPr>
      <t>(*)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cohort_size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</si>
  <si>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Registration_Cohort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</si>
  <si>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GROUP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registration_week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</si>
  <si>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000000"/>
        <rFont val="Consolas"/>
        <charset val="134"/>
      </rPr>
      <t>Cohort_CLV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(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</si>
  <si>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000000"/>
        <rFont val="Consolas"/>
        <charset val="134"/>
      </rPr>
      <t>cr.registration_week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</si>
  <si>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0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week_0_ARPU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</si>
  <si>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1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week_1_ARPU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</si>
  <si>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2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week_2_ARPU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</si>
  <si>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3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week_3_ARPU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</si>
  <si>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4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week_4_ARPU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</si>
  <si>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5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week_5_ARPU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</si>
  <si>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6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week_6_ARPU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</si>
  <si>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7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week_7_ARPU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</si>
  <si>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8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week_8_ARPU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</si>
  <si>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9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week_9_ARPU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</si>
  <si>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10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week_10_ARPU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</si>
  <si>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11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week_11_ARPU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</si>
  <si>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1967D2"/>
        <rFont val="Consolas"/>
        <charset val="134"/>
      </rPr>
      <t>ROUND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SUM</t>
    </r>
    <r>
      <rPr>
        <sz val="9"/>
        <color rgb="FF3C4043"/>
        <rFont val="Consolas"/>
        <charset val="134"/>
      </rPr>
      <t>(</t>
    </r>
    <r>
      <rPr>
        <sz val="9"/>
        <color rgb="FF1967D2"/>
        <rFont val="Consolas"/>
        <charset val="134"/>
      </rPr>
      <t>CASE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WHEN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cr.week_offset</t>
    </r>
    <r>
      <rPr>
        <sz val="9"/>
        <color rgb="FF202124"/>
        <rFont val="Consolas"/>
        <charset val="134"/>
      </rPr>
      <t xml:space="preserve"> = </t>
    </r>
    <r>
      <rPr>
        <sz val="9"/>
        <color rgb="FFB06000"/>
        <rFont val="Consolas"/>
        <charset val="134"/>
      </rPr>
      <t>12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THEN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cr.weekly_revenue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ELSE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NULL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END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3C4043"/>
        <rFont val="Consolas"/>
        <charset val="134"/>
      </rPr>
      <t>/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, </t>
    </r>
    <r>
      <rPr>
        <sz val="9"/>
        <color rgb="FFB06000"/>
        <rFont val="Consolas"/>
        <charset val="134"/>
      </rPr>
      <t>3</t>
    </r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AS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week_12_ARPU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</si>
  <si>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Cohort_Revenue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</si>
  <si>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JOIN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Cohort_Size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cs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ON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cr.registration_week</t>
    </r>
    <r>
      <rPr>
        <sz val="9"/>
        <color rgb="FF202124"/>
        <rFont val="Consolas"/>
        <charset val="134"/>
      </rPr>
      <t xml:space="preserve"> = </t>
    </r>
    <r>
      <rPr>
        <sz val="9"/>
        <color rgb="FF000000"/>
        <rFont val="Consolas"/>
        <charset val="134"/>
      </rPr>
      <t>cs.registration_week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</si>
  <si>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GROUP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cr.registration_week</t>
    </r>
    <r>
      <rPr>
        <sz val="9"/>
        <color rgb="FF202124"/>
        <rFont val="Consolas"/>
        <charset val="134"/>
      </rPr>
      <t xml:space="preserve">, </t>
    </r>
    <r>
      <rPr>
        <sz val="9"/>
        <color rgb="FF000000"/>
        <rFont val="Consolas"/>
        <charset val="134"/>
      </rPr>
      <t>cs.cohort_size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</si>
  <si>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3C4043"/>
        <rFont val="Consolas"/>
        <charset val="134"/>
      </rPr>
      <t>)</t>
    </r>
    <r>
      <rPr>
        <sz val="9"/>
        <color rgb="FF202124"/>
        <rFont val="Consolas"/>
        <charset val="134"/>
      </rPr>
      <t xml:space="preserve">            </t>
    </r>
  </si>
  <si>
    <r>
      <rPr>
        <sz val="9"/>
        <color rgb="FF000000"/>
        <rFont val="Consolas"/>
        <charset val="134"/>
      </rPr>
      <t>week_0_ARPU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</si>
  <si>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week_1_ARPU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</si>
  <si>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week_2_ARPU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</si>
  <si>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week_3_ARPU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</si>
  <si>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week_4_ARPU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</si>
  <si>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week_5_ARPU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</si>
  <si>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week_6_ARPU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</si>
  <si>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week_7_ARPU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</si>
  <si>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week_8_ARPU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</si>
  <si>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week_9_ARPU</t>
    </r>
    <r>
      <rPr>
        <sz val="9"/>
        <color rgb="FF202124"/>
        <rFont val="Consolas"/>
        <charset val="134"/>
      </rPr>
      <t>,              </t>
    </r>
  </si>
  <si>
    <r>
      <rPr>
        <sz val="9"/>
        <color rgb="FF000000"/>
        <rFont val="Consolas"/>
        <charset val="134"/>
      </rPr>
      <t>week_10_ARPU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</si>
  <si>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000000"/>
        <rFont val="Consolas"/>
        <charset val="134"/>
      </rPr>
      <t>week_11_ARPU</t>
    </r>
    <r>
      <rPr>
        <sz val="9"/>
        <color rgb="FF202124"/>
        <rFont val="Consolas"/>
        <charset val="134"/>
      </rPr>
      <t>,            </t>
    </r>
  </si>
  <si>
    <r>
      <rPr>
        <sz val="9"/>
        <color rgb="FF000000"/>
        <rFont val="Consolas"/>
        <charset val="134"/>
      </rPr>
      <t>week_12_ARPU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</si>
  <si>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FROM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Cohort_CLV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</t>
    </r>
    <r>
      <rPr>
        <sz val="9"/>
        <color rgb="FF202124"/>
        <rFont val="Consolas"/>
        <charset val="134"/>
      </rPr>
      <t xml:space="preserve">              </t>
    </r>
  </si>
  <si>
    <r>
      <rPr>
        <sz val="9"/>
        <color rgb="FF1967D2"/>
        <rFont val="Consolas"/>
        <charset val="134"/>
      </rPr>
      <t>ORDER</t>
    </r>
    <r>
      <rPr>
        <sz val="9"/>
        <color rgb="FF202124"/>
        <rFont val="Consolas"/>
        <charset val="134"/>
      </rPr>
      <t xml:space="preserve"> </t>
    </r>
    <r>
      <rPr>
        <sz val="9"/>
        <color rgb="FF1967D2"/>
        <rFont val="Consolas"/>
        <charset val="134"/>
      </rPr>
      <t>BY</t>
    </r>
    <r>
      <rPr>
        <sz val="9"/>
        <color rgb="FF202124"/>
        <rFont val="Consolas"/>
        <charset val="134"/>
      </rPr>
      <t xml:space="preserve"> </t>
    </r>
    <r>
      <rPr>
        <sz val="9"/>
        <color rgb="FF000000"/>
        <rFont val="Consolas"/>
        <charset val="134"/>
      </rPr>
      <t>cr.registration_week</t>
    </r>
    <r>
      <rPr>
        <sz val="9"/>
        <color rgb="FF202124"/>
        <rFont val="Consolas"/>
        <charset val="134"/>
      </rPr>
      <t>;              </t>
    </r>
  </si>
  <si>
    <t>Weeks Size User Registration</t>
  </si>
  <si>
    <t>Registration Cohort Week</t>
  </si>
  <si>
    <t xml:space="preserve">Week </t>
  </si>
  <si>
    <t>New Users</t>
  </si>
  <si>
    <t>Analysis shows emerging several important  trends</t>
  </si>
  <si>
    <t>in revenue growth, seasonal effects, and long-term customer value.</t>
  </si>
  <si>
    <t>null</t>
  </si>
  <si>
    <t>1. Revenue growth patterns</t>
  </si>
  <si>
    <t>Early weeks show strong growth:</t>
  </si>
  <si>
    <t xml:space="preserve">The highest percentage increases occur in the first few weeks </t>
  </si>
  <si>
    <t>after user registration, particulary weeks 1-4.</t>
  </si>
  <si>
    <t xml:space="preserve">Growth is fueled by initial user engagement, onboarding promotions, </t>
  </si>
  <si>
    <t>0,001</t>
  </si>
  <si>
    <t>and early spending habits.</t>
  </si>
  <si>
    <t>Gradual decline in growth rates over time:</t>
  </si>
  <si>
    <t>Later weeks show diminishing increases in revenue, reflecting</t>
  </si>
  <si>
    <t>a natural slowdown in spending behaviour.</t>
  </si>
  <si>
    <t>Growth stabilizes around week 10-12, indicating that repeat spending</t>
  </si>
  <si>
    <t>is lower after the initial engagement period.</t>
  </si>
  <si>
    <t>2. Seasonal effects</t>
  </si>
  <si>
    <t>Column Average</t>
  </si>
  <si>
    <t>0,855</t>
  </si>
  <si>
    <t>0,199</t>
  </si>
  <si>
    <t>0,129</t>
  </si>
  <si>
    <t>0,100</t>
  </si>
  <si>
    <t>0,082</t>
  </si>
  <si>
    <t>0,048</t>
  </si>
  <si>
    <t>0,039</t>
  </si>
  <si>
    <t>0,024</t>
  </si>
  <si>
    <t>0,017</t>
  </si>
  <si>
    <t>0,009</t>
  </si>
  <si>
    <t>0,021</t>
  </si>
  <si>
    <t>0,018</t>
  </si>
  <si>
    <t>Higher revenue in certain cohorts.</t>
  </si>
  <si>
    <t>Some cohorts show higher initial spending, possibly due to seasonal demand.</t>
  </si>
  <si>
    <t>This trend aligns with common shopping cycles, such as purchases during</t>
  </si>
  <si>
    <t>year-end holidays (egz, November_December cohorts).</t>
  </si>
  <si>
    <t>Lower spending in later cohorts.</t>
  </si>
  <si>
    <t>Revenue trends for cohorts registered in January show slightly lower initial</t>
  </si>
  <si>
    <t>0,938</t>
  </si>
  <si>
    <t>engagement, suggesting that post-holiday fatigue leads to reduced spending.</t>
  </si>
  <si>
    <t>Users may refrain from large purchuases after peak holiday shopping months.</t>
  </si>
  <si>
    <t>3. Long-term customer value (LTV)</t>
  </si>
  <si>
    <t>Projected LTV shows stable growth.</t>
  </si>
  <si>
    <t>The average Life Time Value across all cohorts has been estimated at</t>
  </si>
  <si>
    <t>~1,647 USD per user.</t>
  </si>
  <si>
    <t>This suggest a healthy retention rate, with users contributing revenue</t>
  </si>
  <si>
    <t>0,369</t>
  </si>
  <si>
    <t>0,393</t>
  </si>
  <si>
    <t>0,416</t>
  </si>
  <si>
    <t>0,434</t>
  </si>
  <si>
    <t>0,442</t>
  </si>
  <si>
    <t>0,450</t>
  </si>
  <si>
    <t>gradually over time.</t>
  </si>
  <si>
    <t>0,339</t>
  </si>
  <si>
    <t>0,400</t>
  </si>
  <si>
    <t>0,420</t>
  </si>
  <si>
    <t>0,426</t>
  </si>
  <si>
    <t>0,430</t>
  </si>
  <si>
    <t>Early spenders often have higher LTV.</t>
  </si>
  <si>
    <t>0,228</t>
  </si>
  <si>
    <t>0,282</t>
  </si>
  <si>
    <t>0,309</t>
  </si>
  <si>
    <t>0,314</t>
  </si>
  <si>
    <t>Cohorts with higher week 1 revenue tend to maintain stronger cumulative</t>
  </si>
  <si>
    <t>0,399</t>
  </si>
  <si>
    <t>0,449</t>
  </si>
  <si>
    <t>0,461</t>
  </si>
  <si>
    <t>growth, leading to higher overall LTV.</t>
  </si>
  <si>
    <t>0,903</t>
  </si>
  <si>
    <t>This suggest that early engagement strategies significantly impact lifetime spending behaviour.</t>
  </si>
  <si>
    <t>0,192</t>
  </si>
  <si>
    <t>Cumulative Column Average</t>
  </si>
  <si>
    <t>Overall:</t>
  </si>
  <si>
    <t>Cumulative Growth</t>
  </si>
  <si>
    <t>23,29 %</t>
  </si>
  <si>
    <t>12,26%</t>
  </si>
  <si>
    <t>8,44%</t>
  </si>
  <si>
    <t>6,39%</t>
  </si>
  <si>
    <t>3,51%</t>
  </si>
  <si>
    <t>2,74%</t>
  </si>
  <si>
    <t>1,62%</t>
  </si>
  <si>
    <t>1,16%</t>
  </si>
  <si>
    <t>0,60%</t>
  </si>
  <si>
    <t>1,40%</t>
  </si>
  <si>
    <t>1,18%</t>
  </si>
  <si>
    <t>Early engagement drives long-term revenue - strong initial spending</t>
  </si>
  <si>
    <t>correlates with higher LTV.</t>
  </si>
  <si>
    <t xml:space="preserve">Seasonal effects influence cohort trends - holiday periods generate </t>
  </si>
  <si>
    <t>higher revenue , while January cohorts have lower initial spending.</t>
  </si>
  <si>
    <t xml:space="preserve">Revenue growth slows but stabilizes - after week 10 , user spending patterns </t>
  </si>
  <si>
    <t>become consistent but less agressive.</t>
  </si>
  <si>
    <t>0,234</t>
  </si>
  <si>
    <t>0,263</t>
  </si>
  <si>
    <t>0,285</t>
  </si>
  <si>
    <t>0,304</t>
  </si>
  <si>
    <t>0,315</t>
  </si>
  <si>
    <t>0,324</t>
  </si>
  <si>
    <t>0,329</t>
  </si>
  <si>
    <t>0,333</t>
  </si>
  <si>
    <t>0,335</t>
  </si>
  <si>
    <t>0,340</t>
  </si>
  <si>
    <t>0,344</t>
  </si>
  <si>
    <t>0,348</t>
  </si>
  <si>
    <t>LTV avr.</t>
  </si>
  <si>
    <t xml:space="preserve">Registration week </t>
  </si>
  <si>
    <t>new users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</si>
</sst>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2">
    <font>
      <sz val="11"/>
      <color theme="1"/>
      <name val="Calibri"/>
      <charset val="134"/>
      <scheme val="minor"/>
    </font>
    <font>
      <b/>
      <i/>
      <sz val="10"/>
      <color theme="1"/>
      <name val="Arial"/>
      <charset val="134"/>
    </font>
    <font>
      <b/>
      <sz val="10"/>
      <color theme="1" tint="0.25"/>
      <name val="Arial"/>
      <charset val="134"/>
    </font>
    <font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sz val="9"/>
      <color rgb="FF202124"/>
      <name val="Arial"/>
      <charset val="134"/>
    </font>
    <font>
      <i/>
      <sz val="9"/>
      <color rgb="FF202124"/>
      <name val="Arial"/>
      <charset val="134"/>
    </font>
    <font>
      <b/>
      <sz val="9"/>
      <color rgb="FF202124"/>
      <name val="Arial"/>
      <charset val="134"/>
    </font>
    <font>
      <sz val="11"/>
      <color theme="1" tint="0.25"/>
      <name val="Calibri"/>
      <charset val="134"/>
      <scheme val="minor"/>
    </font>
    <font>
      <b/>
      <sz val="9"/>
      <color theme="1"/>
      <name val="Arial"/>
      <charset val="134"/>
    </font>
    <font>
      <b/>
      <sz val="9"/>
      <color theme="0"/>
      <name val="Arial"/>
      <charset val="134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sz val="10"/>
      <color theme="1" tint="0.35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 tint="0.25"/>
      <name val="Arial"/>
      <charset val="134"/>
    </font>
    <font>
      <b/>
      <sz val="11"/>
      <name val="Calibri"/>
      <charset val="134"/>
      <scheme val="minor"/>
    </font>
    <font>
      <sz val="9"/>
      <color rgb="FF1967D2"/>
      <name val="Consolas"/>
      <charset val="134"/>
    </font>
    <font>
      <sz val="9"/>
      <color rgb="FF000000"/>
      <name val="Consolas"/>
      <charset val="134"/>
    </font>
    <font>
      <sz val="9"/>
      <color rgb="FF3C4043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202124"/>
      <name val="Consolas"/>
      <charset val="134"/>
    </font>
    <font>
      <sz val="9"/>
      <color rgb="FFB06000"/>
      <name val="Consolas"/>
      <charset val="134"/>
    </font>
    <font>
      <sz val="9"/>
      <color rgb="FF188038"/>
      <name val="Consolas"/>
      <charset val="134"/>
    </font>
  </fonts>
  <fills count="4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7887"/>
        <bgColor indexed="64"/>
      </patternFill>
    </fill>
    <fill>
      <patternFill patternType="solid">
        <fgColor rgb="FFD25B32"/>
        <bgColor indexed="64"/>
      </patternFill>
    </fill>
    <fill>
      <patternFill patternType="solid">
        <fgColor rgb="FFD26856"/>
        <bgColor indexed="64"/>
      </patternFill>
    </fill>
    <fill>
      <patternFill patternType="solid">
        <fgColor rgb="FFD5683F"/>
        <bgColor indexed="64"/>
      </patternFill>
    </fill>
    <fill>
      <patternFill patternType="solid">
        <fgColor rgb="FFCC4E3F"/>
        <bgColor indexed="64"/>
      </patternFill>
    </fill>
    <fill>
      <patternFill patternType="solid">
        <fgColor rgb="FFE65A6E"/>
        <bgColor indexed="64"/>
      </patternFill>
    </fill>
    <fill>
      <patternFill patternType="solid">
        <fgColor rgb="FFE14B5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DADCE0"/>
      </right>
      <top style="thin">
        <color rgb="FFDADCE0"/>
      </top>
      <bottom/>
      <diagonal/>
    </border>
    <border>
      <left/>
      <right style="thin">
        <color rgb="FFDADCE0"/>
      </right>
      <top style="thin">
        <color rgb="FFDADCE0"/>
      </top>
      <bottom style="thin">
        <color rgb="FFDADCE0"/>
      </bottom>
      <diagonal/>
    </border>
    <border>
      <left/>
      <right/>
      <top/>
      <bottom style="thin">
        <color rgb="FFDADCE0"/>
      </bottom>
      <diagonal/>
    </border>
    <border>
      <left/>
      <right style="thin">
        <color rgb="FFDADCE0"/>
      </right>
      <top/>
      <bottom/>
      <diagonal/>
    </border>
    <border>
      <left/>
      <right style="thin">
        <color rgb="FFDADCE0"/>
      </right>
      <top/>
      <bottom style="thin">
        <color rgb="FFDADC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9" applyNumberFormat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15" borderId="9" applyNumberFormat="0" applyAlignment="0" applyProtection="0">
      <alignment vertical="center"/>
    </xf>
    <xf numFmtId="0" fontId="31" fillId="16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4" borderId="1" xfId="0" applyFont="1" applyFill="1" applyBorder="1" applyAlignment="1">
      <alignment horizontal="right" vertical="center"/>
    </xf>
    <xf numFmtId="58" fontId="5" fillId="3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horizontal="right" vertical="center" wrapText="1"/>
    </xf>
    <xf numFmtId="0" fontId="6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/>
    </xf>
    <xf numFmtId="58" fontId="7" fillId="2" borderId="3" xfId="0" applyNumberFormat="1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8" fillId="0" borderId="0" xfId="0" applyFont="1">
      <alignment vertical="center"/>
    </xf>
    <xf numFmtId="0" fontId="4" fillId="3" borderId="0" xfId="0" applyFont="1" applyFill="1">
      <alignment vertical="center"/>
    </xf>
    <xf numFmtId="58" fontId="3" fillId="3" borderId="0" xfId="0" applyNumberFormat="1" applyFont="1" applyFill="1">
      <alignment vertical="center"/>
    </xf>
    <xf numFmtId="0" fontId="3" fillId="5" borderId="0" xfId="0" applyFont="1" applyFill="1" applyAlignment="1">
      <alignment horizontal="right" vertical="center"/>
    </xf>
    <xf numFmtId="3" fontId="3" fillId="0" borderId="0" xfId="0" applyNumberFormat="1" applyFont="1">
      <alignment vertical="center"/>
    </xf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0" borderId="0" xfId="0" applyFont="1">
      <alignment vertical="center"/>
    </xf>
    <xf numFmtId="0" fontId="3" fillId="9" borderId="0" xfId="0" applyFont="1" applyFill="1" applyAlignment="1">
      <alignment horizontal="right"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right" vertical="center"/>
    </xf>
    <xf numFmtId="3" fontId="9" fillId="2" borderId="0" xfId="0" applyNumberFormat="1" applyFont="1" applyFill="1">
      <alignment vertical="center"/>
    </xf>
    <xf numFmtId="0" fontId="9" fillId="2" borderId="0" xfId="0" applyFont="1" applyFill="1">
      <alignment vertical="center"/>
    </xf>
    <xf numFmtId="0" fontId="4" fillId="0" borderId="0" xfId="0" applyFont="1">
      <alignment vertical="center"/>
    </xf>
    <xf numFmtId="0" fontId="3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2" borderId="0" xfId="0" applyFont="1" applyFill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10" fillId="2" borderId="4" xfId="0" applyFont="1" applyFill="1" applyBorder="1" applyAlignment="1">
      <alignment horizontal="left"/>
    </xf>
    <xf numFmtId="0" fontId="11" fillId="12" borderId="4" xfId="0" applyFont="1" applyFill="1" applyBorder="1" applyAlignment="1">
      <alignment horizontal="left"/>
    </xf>
    <xf numFmtId="0" fontId="0" fillId="12" borderId="0" xfId="0" applyFill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4" xfId="0" applyFont="1" applyBorder="1" applyAlignment="1">
      <alignment vertical="center" wrapText="1"/>
    </xf>
    <xf numFmtId="0" fontId="2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5" fillId="10" borderId="0" xfId="0" applyFont="1" applyFill="1" applyAlignment="1">
      <alignment horizontal="right" vertical="center" wrapText="1"/>
    </xf>
    <xf numFmtId="0" fontId="8" fillId="2" borderId="0" xfId="0" applyFont="1" applyFill="1">
      <alignment vertical="center"/>
    </xf>
    <xf numFmtId="3" fontId="0" fillId="0" borderId="0" xfId="0" applyNumberFormat="1" applyAlignment="1">
      <alignment horizontal="right" vertical="center"/>
    </xf>
    <xf numFmtId="0" fontId="12" fillId="0" borderId="0" xfId="0" applyFont="1">
      <alignment vertical="center"/>
    </xf>
    <xf numFmtId="0" fontId="11" fillId="3" borderId="0" xfId="0" applyFont="1" applyFill="1" applyAlignment="1">
      <alignment horizontal="right" vertical="center"/>
    </xf>
    <xf numFmtId="0" fontId="10" fillId="3" borderId="4" xfId="0" applyFont="1" applyFill="1" applyBorder="1" applyAlignment="1">
      <alignment horizontal="left"/>
    </xf>
    <xf numFmtId="0" fontId="13" fillId="0" borderId="0" xfId="0" applyFont="1">
      <alignment vertical="center"/>
    </xf>
    <xf numFmtId="0" fontId="5" fillId="4" borderId="4" xfId="0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5" fillId="4" borderId="5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58" fontId="5" fillId="12" borderId="3" xfId="0" applyNumberFormat="1" applyFont="1" applyFill="1" applyBorder="1" applyAlignment="1">
      <alignment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5" xfId="0" applyFont="1" applyBorder="1" applyAlignment="1">
      <alignment vertical="center" wrapText="1"/>
    </xf>
    <xf numFmtId="0" fontId="5" fillId="4" borderId="1" xfId="0" applyFont="1" applyFill="1" applyBorder="1" applyAlignment="1">
      <alignment horizontal="right" vertical="center"/>
    </xf>
    <xf numFmtId="58" fontId="5" fillId="4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horizontal="right" vertical="center" wrapText="1"/>
    </xf>
    <xf numFmtId="0" fontId="6" fillId="4" borderId="0" xfId="0" applyFont="1" applyFill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/>
    </xf>
    <xf numFmtId="58" fontId="5" fillId="4" borderId="3" xfId="0" applyNumberFormat="1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vertical="center" wrapText="1"/>
    </xf>
    <xf numFmtId="0" fontId="0" fillId="4" borderId="3" xfId="0" applyFill="1" applyBorder="1">
      <alignment vertical="center"/>
    </xf>
    <xf numFmtId="0" fontId="0" fillId="0" borderId="0" xfId="0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14B5D"/>
      <color rgb="00D1592F"/>
      <color rgb="00D3596D"/>
      <color rgb="00D5683F"/>
      <color rgb="00D55D6E"/>
      <color rgb="00DC8A7C"/>
      <color rgb="00D26856"/>
      <color rgb="00D25B32"/>
      <color rgb="00F77887"/>
      <color rgb="00E65A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topLeftCell="A61" workbookViewId="0">
      <selection activeCell="A2" sqref="A2:L76"/>
    </sheetView>
  </sheetViews>
  <sheetFormatPr defaultColWidth="8.72727272727273" defaultRowHeight="14.5" outlineLevelCol="1"/>
  <sheetData>
    <row r="1" spans="1:1">
      <c r="A1" s="67"/>
    </row>
    <row r="2" spans="2:2">
      <c r="B2" s="68" t="s">
        <v>0</v>
      </c>
    </row>
    <row r="3" spans="2:2">
      <c r="B3" s="68" t="s">
        <v>1</v>
      </c>
    </row>
    <row r="4" spans="2:2">
      <c r="B4" s="69" t="s">
        <v>2</v>
      </c>
    </row>
    <row r="5" spans="2:2">
      <c r="B5" s="68" t="s">
        <v>3</v>
      </c>
    </row>
    <row r="6" spans="2:2">
      <c r="B6" s="68" t="s">
        <v>4</v>
      </c>
    </row>
    <row r="7" spans="2:2">
      <c r="B7" s="68" t="s">
        <v>5</v>
      </c>
    </row>
    <row r="8" spans="2:2">
      <c r="B8" s="68" t="s">
        <v>6</v>
      </c>
    </row>
    <row r="9" spans="2:2">
      <c r="B9" s="70" t="s">
        <v>7</v>
      </c>
    </row>
    <row r="10" spans="2:2">
      <c r="B10" s="69" t="s">
        <v>8</v>
      </c>
    </row>
    <row r="11" spans="2:2">
      <c r="B11" s="68" t="s">
        <v>1</v>
      </c>
    </row>
    <row r="12" spans="2:2">
      <c r="B12" s="69" t="s">
        <v>2</v>
      </c>
    </row>
    <row r="13" spans="2:2">
      <c r="B13" s="68" t="s">
        <v>9</v>
      </c>
    </row>
    <row r="14" spans="2:2">
      <c r="B14" s="68" t="s">
        <v>10</v>
      </c>
    </row>
    <row r="15" spans="2:2">
      <c r="B15" s="68" t="s">
        <v>4</v>
      </c>
    </row>
    <row r="16" spans="2:2">
      <c r="B16" s="68" t="s">
        <v>5</v>
      </c>
    </row>
    <row r="17" spans="2:2">
      <c r="B17" s="68" t="s">
        <v>11</v>
      </c>
    </row>
    <row r="18" spans="2:2">
      <c r="B18" s="68" t="s">
        <v>12</v>
      </c>
    </row>
    <row r="19" spans="2:2">
      <c r="B19" s="70" t="s">
        <v>7</v>
      </c>
    </row>
    <row r="20" spans="2:2">
      <c r="B20" s="69" t="s">
        <v>13</v>
      </c>
    </row>
    <row r="21" spans="2:2">
      <c r="B21" s="68" t="s">
        <v>1</v>
      </c>
    </row>
    <row r="22" spans="2:2">
      <c r="B22" s="69" t="s">
        <v>14</v>
      </c>
    </row>
    <row r="23" spans="2:2">
      <c r="B23" s="69" t="s">
        <v>15</v>
      </c>
    </row>
    <row r="24" spans="2:2">
      <c r="B24" s="69" t="s">
        <v>16</v>
      </c>
    </row>
    <row r="25" spans="2:2">
      <c r="B25" s="68" t="s">
        <v>17</v>
      </c>
    </row>
    <row r="26" spans="2:2">
      <c r="B26" s="69" t="s">
        <v>18</v>
      </c>
    </row>
    <row r="27" spans="2:2">
      <c r="B27" s="68" t="s">
        <v>19</v>
      </c>
    </row>
    <row r="28" spans="2:2">
      <c r="B28" s="68" t="s">
        <v>20</v>
      </c>
    </row>
    <row r="29" spans="2:2">
      <c r="B29" s="68" t="s">
        <v>21</v>
      </c>
    </row>
    <row r="30" spans="2:2">
      <c r="B30" s="68" t="s">
        <v>22</v>
      </c>
    </row>
    <row r="31" spans="2:2">
      <c r="B31" s="68" t="s">
        <v>23</v>
      </c>
    </row>
    <row r="32" spans="2:2">
      <c r="B32" s="70" t="s">
        <v>7</v>
      </c>
    </row>
    <row r="33" spans="2:2">
      <c r="B33" s="69" t="s">
        <v>24</v>
      </c>
    </row>
    <row r="34" spans="2:2">
      <c r="B34" s="68" t="s">
        <v>1</v>
      </c>
    </row>
    <row r="35" spans="2:2">
      <c r="B35" s="69" t="s">
        <v>25</v>
      </c>
    </row>
    <row r="36" spans="2:2">
      <c r="B36" s="68" t="s">
        <v>26</v>
      </c>
    </row>
    <row r="37" spans="2:2">
      <c r="B37" s="68" t="s">
        <v>27</v>
      </c>
    </row>
    <row r="38" spans="2:2">
      <c r="B38" s="68" t="s">
        <v>28</v>
      </c>
    </row>
    <row r="39" spans="2:2">
      <c r="B39" s="70" t="s">
        <v>7</v>
      </c>
    </row>
    <row r="40" spans="2:2">
      <c r="B40" s="69" t="s">
        <v>29</v>
      </c>
    </row>
    <row r="41" spans="2:2">
      <c r="B41" s="68" t="s">
        <v>1</v>
      </c>
    </row>
    <row r="42" spans="2:2">
      <c r="B42" s="69" t="s">
        <v>30</v>
      </c>
    </row>
    <row r="43" spans="2:2">
      <c r="B43" s="68" t="s">
        <v>31</v>
      </c>
    </row>
    <row r="44" spans="2:2">
      <c r="B44" s="68" t="s">
        <v>32</v>
      </c>
    </row>
    <row r="45" spans="2:2">
      <c r="B45" s="68" t="s">
        <v>33</v>
      </c>
    </row>
    <row r="46" spans="2:2">
      <c r="B46" s="68" t="s">
        <v>34</v>
      </c>
    </row>
    <row r="47" spans="2:2">
      <c r="B47" s="68" t="s">
        <v>35</v>
      </c>
    </row>
    <row r="48" spans="2:2">
      <c r="B48" s="68" t="s">
        <v>36</v>
      </c>
    </row>
    <row r="49" spans="2:2">
      <c r="B49" s="68" t="s">
        <v>37</v>
      </c>
    </row>
    <row r="50" spans="2:2">
      <c r="B50" s="68" t="s">
        <v>38</v>
      </c>
    </row>
    <row r="51" spans="2:2">
      <c r="B51" s="68" t="s">
        <v>39</v>
      </c>
    </row>
    <row r="52" spans="2:2">
      <c r="B52" s="68" t="s">
        <v>40</v>
      </c>
    </row>
    <row r="53" spans="2:2">
      <c r="B53" s="68" t="s">
        <v>41</v>
      </c>
    </row>
    <row r="54" spans="2:2">
      <c r="B54" s="68" t="s">
        <v>42</v>
      </c>
    </row>
    <row r="55" spans="2:2">
      <c r="B55" s="68" t="s">
        <v>43</v>
      </c>
    </row>
    <row r="56" spans="2:2">
      <c r="B56" s="68" t="s">
        <v>44</v>
      </c>
    </row>
    <row r="57" spans="2:2">
      <c r="B57" s="68" t="s">
        <v>45</v>
      </c>
    </row>
    <row r="58" spans="2:2">
      <c r="B58" s="68" t="s">
        <v>46</v>
      </c>
    </row>
    <row r="59" spans="2:2">
      <c r="B59" s="70" t="s">
        <v>47</v>
      </c>
    </row>
    <row r="60" spans="2:2">
      <c r="B60" s="68" t="s">
        <v>1</v>
      </c>
    </row>
    <row r="61" spans="2:2">
      <c r="B61" s="69" t="s">
        <v>30</v>
      </c>
    </row>
    <row r="62" spans="2:2">
      <c r="B62" s="69" t="s">
        <v>48</v>
      </c>
    </row>
    <row r="63" spans="2:2">
      <c r="B63" s="69" t="s">
        <v>49</v>
      </c>
    </row>
    <row r="64" spans="2:2">
      <c r="B64" s="69" t="s">
        <v>50</v>
      </c>
    </row>
    <row r="65" spans="2:2">
      <c r="B65" s="69" t="s">
        <v>51</v>
      </c>
    </row>
    <row r="66" spans="2:2">
      <c r="B66" s="69" t="s">
        <v>52</v>
      </c>
    </row>
    <row r="67" spans="2:2">
      <c r="B67" s="69" t="s">
        <v>53</v>
      </c>
    </row>
    <row r="68" spans="2:2">
      <c r="B68" s="69" t="s">
        <v>54</v>
      </c>
    </row>
    <row r="69" spans="2:2">
      <c r="B69" s="69" t="s">
        <v>55</v>
      </c>
    </row>
    <row r="70" spans="2:2">
      <c r="B70" s="69" t="s">
        <v>56</v>
      </c>
    </row>
    <row r="71" spans="2:2">
      <c r="B71" s="69" t="s">
        <v>57</v>
      </c>
    </row>
    <row r="72" spans="2:2">
      <c r="B72" s="69" t="s">
        <v>58</v>
      </c>
    </row>
    <row r="73" spans="2:2">
      <c r="B73" s="69" t="s">
        <v>59</v>
      </c>
    </row>
    <row r="74" spans="2:2">
      <c r="B74" s="69" t="s">
        <v>60</v>
      </c>
    </row>
    <row r="75" spans="2:2">
      <c r="B75" s="68" t="s">
        <v>61</v>
      </c>
    </row>
    <row r="76" spans="2:2">
      <c r="B76" s="68" t="s">
        <v>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R14"/>
  <sheetViews>
    <sheetView workbookViewId="0">
      <selection activeCell="C2" sqref="C2"/>
    </sheetView>
  </sheetViews>
  <sheetFormatPr defaultColWidth="8.72727272727273" defaultRowHeight="14.5"/>
  <sheetData>
    <row r="3" spans="3:18">
      <c r="C3" s="57"/>
      <c r="D3" s="58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  <c r="R3" s="65"/>
    </row>
    <row r="4" spans="3:18">
      <c r="C4" s="57"/>
      <c r="D4" s="58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0"/>
      <c r="Q4" s="60"/>
      <c r="R4" s="65"/>
    </row>
    <row r="5" spans="3:18">
      <c r="C5" s="57"/>
      <c r="D5" s="58"/>
      <c r="E5" s="59"/>
      <c r="F5" s="59"/>
      <c r="G5" s="59"/>
      <c r="H5" s="59"/>
      <c r="I5" s="59"/>
      <c r="J5" s="59"/>
      <c r="K5" s="59"/>
      <c r="L5" s="59"/>
      <c r="M5" s="59"/>
      <c r="N5" s="60"/>
      <c r="O5" s="60"/>
      <c r="P5" s="60"/>
      <c r="Q5" s="60"/>
      <c r="R5" s="65"/>
    </row>
    <row r="6" spans="3:18">
      <c r="C6" s="57"/>
      <c r="D6" s="58"/>
      <c r="E6" s="59"/>
      <c r="F6" s="59"/>
      <c r="G6" s="59"/>
      <c r="H6" s="59"/>
      <c r="I6" s="59"/>
      <c r="J6" s="59"/>
      <c r="K6" s="59"/>
      <c r="L6" s="59"/>
      <c r="M6" s="60"/>
      <c r="N6" s="60"/>
      <c r="O6" s="60"/>
      <c r="P6" s="60"/>
      <c r="Q6" s="60"/>
      <c r="R6" s="65"/>
    </row>
    <row r="7" spans="3:18">
      <c r="C7" s="57"/>
      <c r="D7" s="58"/>
      <c r="E7" s="59"/>
      <c r="F7" s="59"/>
      <c r="G7" s="59"/>
      <c r="H7" s="59"/>
      <c r="I7" s="59"/>
      <c r="J7" s="59"/>
      <c r="K7" s="59"/>
      <c r="L7" s="59"/>
      <c r="M7" s="60"/>
      <c r="N7" s="60"/>
      <c r="O7" s="60"/>
      <c r="P7" s="60"/>
      <c r="Q7" s="60"/>
      <c r="R7" s="65"/>
    </row>
    <row r="8" spans="3:18">
      <c r="C8" s="57"/>
      <c r="D8" s="58"/>
      <c r="E8" s="59"/>
      <c r="F8" s="59"/>
      <c r="G8" s="59"/>
      <c r="H8" s="59"/>
      <c r="I8" s="59"/>
      <c r="J8" s="59"/>
      <c r="K8" s="60"/>
      <c r="L8" s="60"/>
      <c r="M8" s="60"/>
      <c r="N8" s="60"/>
      <c r="O8" s="60"/>
      <c r="P8" s="60"/>
      <c r="Q8" s="60"/>
      <c r="R8" s="65"/>
    </row>
    <row r="9" spans="3:18">
      <c r="C9" s="57"/>
      <c r="D9" s="58"/>
      <c r="E9" s="59"/>
      <c r="F9" s="59"/>
      <c r="G9" s="59"/>
      <c r="H9" s="59"/>
      <c r="I9" s="59"/>
      <c r="J9" s="60"/>
      <c r="K9" s="60"/>
      <c r="L9" s="60"/>
      <c r="M9" s="60"/>
      <c r="N9" s="60"/>
      <c r="O9" s="60"/>
      <c r="P9" s="60"/>
      <c r="Q9" s="60"/>
      <c r="R9" s="65"/>
    </row>
    <row r="10" spans="3:18">
      <c r="C10" s="57"/>
      <c r="D10" s="58"/>
      <c r="E10" s="59"/>
      <c r="F10" s="59"/>
      <c r="G10" s="59"/>
      <c r="H10" s="59"/>
      <c r="I10" s="60"/>
      <c r="J10" s="60"/>
      <c r="K10" s="60"/>
      <c r="L10" s="60"/>
      <c r="M10" s="60"/>
      <c r="N10" s="60"/>
      <c r="O10" s="60"/>
      <c r="P10" s="60"/>
      <c r="Q10" s="60"/>
      <c r="R10" s="65"/>
    </row>
    <row r="11" spans="3:18">
      <c r="C11" s="57"/>
      <c r="D11" s="58"/>
      <c r="E11" s="59"/>
      <c r="F11" s="59"/>
      <c r="G11" s="59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5"/>
    </row>
    <row r="12" spans="3:18">
      <c r="C12" s="57"/>
      <c r="D12" s="58"/>
      <c r="E12" s="59"/>
      <c r="F12" s="59"/>
      <c r="G12" s="59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5"/>
    </row>
    <row r="13" spans="3:18">
      <c r="C13" s="57"/>
      <c r="D13" s="58"/>
      <c r="E13" s="59"/>
      <c r="F13" s="59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5"/>
    </row>
    <row r="14" spans="3:18">
      <c r="C14" s="61"/>
      <c r="D14" s="62"/>
      <c r="E14" s="63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76"/>
  <sheetViews>
    <sheetView tabSelected="1" zoomScale="80" zoomScaleNormal="80" topLeftCell="R1" workbookViewId="0">
      <selection activeCell="X41" sqref="X41"/>
    </sheetView>
  </sheetViews>
  <sheetFormatPr defaultColWidth="8.72727272727273" defaultRowHeight="14.5"/>
  <cols>
    <col min="3" max="3" width="21.6363636363636" customWidth="1"/>
    <col min="4" max="4" width="8.81818181818182"/>
    <col min="20" max="20" width="8.81818181818182"/>
  </cols>
  <sheetData>
    <row r="1" spans="3:16">
      <c r="C1" s="1"/>
      <c r="D1" s="1"/>
      <c r="E1" s="1"/>
      <c r="F1" s="1"/>
      <c r="G1" s="2"/>
      <c r="H1" s="3" t="s">
        <v>63</v>
      </c>
      <c r="I1" s="39"/>
      <c r="J1" s="39"/>
      <c r="K1" s="40"/>
      <c r="L1" s="1"/>
      <c r="M1" s="1"/>
      <c r="N1" s="1"/>
      <c r="O1" s="1"/>
      <c r="P1" s="1"/>
    </row>
    <row r="2" spans="3:24">
      <c r="C2" s="4" t="s">
        <v>64</v>
      </c>
      <c r="D2" s="5">
        <v>0</v>
      </c>
      <c r="E2" s="5">
        <v>1</v>
      </c>
      <c r="F2" s="5">
        <v>2</v>
      </c>
      <c r="G2" s="5">
        <v>3</v>
      </c>
      <c r="H2" s="5">
        <v>4</v>
      </c>
      <c r="I2" s="5">
        <v>5</v>
      </c>
      <c r="J2" s="5">
        <v>6</v>
      </c>
      <c r="K2" s="5">
        <v>7</v>
      </c>
      <c r="L2" s="5">
        <v>8</v>
      </c>
      <c r="M2" s="5">
        <v>9</v>
      </c>
      <c r="N2" s="5">
        <v>10</v>
      </c>
      <c r="O2" s="5">
        <v>11</v>
      </c>
      <c r="P2" s="5">
        <v>12</v>
      </c>
      <c r="S2" s="44"/>
      <c r="T2" s="45" t="s">
        <v>65</v>
      </c>
      <c r="U2" s="46" t="s">
        <v>66</v>
      </c>
      <c r="X2" s="47" t="s">
        <v>67</v>
      </c>
    </row>
    <row r="3" spans="2:24">
      <c r="B3" s="6"/>
      <c r="C3" s="7">
        <v>44136</v>
      </c>
      <c r="D3" s="8">
        <v>0.938</v>
      </c>
      <c r="E3" s="8">
        <v>0.326</v>
      </c>
      <c r="F3" s="8">
        <v>0.267</v>
      </c>
      <c r="G3" s="8">
        <v>0.262</v>
      </c>
      <c r="H3" s="8">
        <v>0.16</v>
      </c>
      <c r="I3" s="8">
        <v>0.153</v>
      </c>
      <c r="J3" s="8">
        <v>0.165</v>
      </c>
      <c r="K3" s="8">
        <v>0.025</v>
      </c>
      <c r="L3" s="8">
        <v>0.008</v>
      </c>
      <c r="M3" s="8">
        <v>0.014</v>
      </c>
      <c r="N3" s="8">
        <v>0.023</v>
      </c>
      <c r="O3" s="8">
        <v>0.015</v>
      </c>
      <c r="P3" s="8">
        <v>0.018</v>
      </c>
      <c r="Q3" s="48"/>
      <c r="T3" s="7">
        <v>44136</v>
      </c>
      <c r="U3" s="37">
        <v>20078</v>
      </c>
      <c r="X3" t="s">
        <v>68</v>
      </c>
    </row>
    <row r="4" spans="2:24">
      <c r="B4" s="6"/>
      <c r="C4" s="7">
        <v>44143</v>
      </c>
      <c r="D4" s="8">
        <v>1.192</v>
      </c>
      <c r="E4" s="8">
        <v>0.381</v>
      </c>
      <c r="F4" s="8">
        <v>0.281</v>
      </c>
      <c r="G4" s="8">
        <v>0.229</v>
      </c>
      <c r="H4" s="8">
        <v>0.277</v>
      </c>
      <c r="I4" s="8">
        <v>0.104</v>
      </c>
      <c r="J4" s="8">
        <v>0.039</v>
      </c>
      <c r="K4" s="8">
        <v>0.069</v>
      </c>
      <c r="L4" s="9" t="s">
        <v>69</v>
      </c>
      <c r="M4" s="8">
        <v>0.012</v>
      </c>
      <c r="N4" s="8">
        <v>0.035</v>
      </c>
      <c r="O4" s="8">
        <v>0.021</v>
      </c>
      <c r="P4" s="9"/>
      <c r="Q4" s="48"/>
      <c r="T4" s="7">
        <v>44143</v>
      </c>
      <c r="U4" s="37">
        <v>16232</v>
      </c>
      <c r="X4" s="49" t="s">
        <v>70</v>
      </c>
    </row>
    <row r="5" spans="2:24">
      <c r="B5" s="6"/>
      <c r="C5" s="7">
        <v>44150</v>
      </c>
      <c r="D5" s="8">
        <v>1.382</v>
      </c>
      <c r="E5" s="8">
        <v>0.297</v>
      </c>
      <c r="F5" s="8">
        <v>0.219</v>
      </c>
      <c r="G5" s="8">
        <v>0.228</v>
      </c>
      <c r="H5" s="8">
        <v>0.167</v>
      </c>
      <c r="I5" s="8">
        <v>0.026</v>
      </c>
      <c r="J5" s="8">
        <v>0.029</v>
      </c>
      <c r="K5" s="8">
        <v>0.022</v>
      </c>
      <c r="L5" s="8">
        <v>0.021</v>
      </c>
      <c r="M5" s="8">
        <v>0.006</v>
      </c>
      <c r="N5" s="8">
        <v>0.004</v>
      </c>
      <c r="O5" s="8"/>
      <c r="P5" s="9"/>
      <c r="Q5" s="48"/>
      <c r="T5" s="7">
        <v>44150</v>
      </c>
      <c r="U5" s="37">
        <v>17845</v>
      </c>
      <c r="X5" s="49" t="s">
        <v>71</v>
      </c>
    </row>
    <row r="6" spans="2:24">
      <c r="B6" s="6"/>
      <c r="C6" s="7">
        <v>44157</v>
      </c>
      <c r="D6" s="8">
        <v>1.647</v>
      </c>
      <c r="E6" s="8">
        <v>0.236</v>
      </c>
      <c r="F6" s="8">
        <v>0.225</v>
      </c>
      <c r="G6" s="8">
        <v>0.119</v>
      </c>
      <c r="H6" s="8">
        <v>0.037</v>
      </c>
      <c r="I6" s="8">
        <v>0.013</v>
      </c>
      <c r="J6" s="8">
        <v>0.006</v>
      </c>
      <c r="K6" s="8">
        <v>0.011</v>
      </c>
      <c r="L6" s="8">
        <v>0.035</v>
      </c>
      <c r="M6" s="8">
        <v>0.004</v>
      </c>
      <c r="N6" s="9"/>
      <c r="O6" s="9"/>
      <c r="P6" s="9"/>
      <c r="Q6" s="48"/>
      <c r="T6" s="7">
        <v>44157</v>
      </c>
      <c r="U6" s="37">
        <v>19637</v>
      </c>
      <c r="X6" t="s">
        <v>72</v>
      </c>
    </row>
    <row r="7" spans="2:24">
      <c r="B7" s="6"/>
      <c r="C7" s="7">
        <v>44164</v>
      </c>
      <c r="D7" s="8">
        <v>1.319</v>
      </c>
      <c r="E7" s="8">
        <v>0.363</v>
      </c>
      <c r="F7" s="8">
        <v>0.243</v>
      </c>
      <c r="G7" s="8">
        <v>0.048</v>
      </c>
      <c r="H7" s="8">
        <v>0.012</v>
      </c>
      <c r="I7" s="8">
        <v>0.022</v>
      </c>
      <c r="J7" s="8">
        <v>0.006</v>
      </c>
      <c r="K7" s="8">
        <v>0.012</v>
      </c>
      <c r="L7" s="8">
        <v>0.005</v>
      </c>
      <c r="M7" s="9"/>
      <c r="N7" s="9"/>
      <c r="O7" s="9"/>
      <c r="P7" s="9"/>
      <c r="Q7" s="48"/>
      <c r="T7" s="7">
        <v>44164</v>
      </c>
      <c r="U7" s="37">
        <v>21991</v>
      </c>
      <c r="X7" t="s">
        <v>73</v>
      </c>
    </row>
    <row r="8" spans="2:24">
      <c r="B8" s="6"/>
      <c r="C8" s="7">
        <v>44171</v>
      </c>
      <c r="D8" s="8">
        <v>1.203</v>
      </c>
      <c r="E8" s="8">
        <v>0.329</v>
      </c>
      <c r="F8" s="8">
        <v>0.081</v>
      </c>
      <c r="G8" s="8">
        <v>0.034</v>
      </c>
      <c r="H8" s="8">
        <v>0.021</v>
      </c>
      <c r="I8" s="8">
        <v>0.027</v>
      </c>
      <c r="J8" s="8">
        <v>0.024</v>
      </c>
      <c r="K8" s="8">
        <v>0.002</v>
      </c>
      <c r="L8" s="9"/>
      <c r="M8" s="9"/>
      <c r="N8" s="9"/>
      <c r="O8" s="9"/>
      <c r="P8" s="9"/>
      <c r="Q8" s="48"/>
      <c r="T8" s="7">
        <v>44171</v>
      </c>
      <c r="U8" s="37">
        <v>28069</v>
      </c>
      <c r="X8" t="s">
        <v>74</v>
      </c>
    </row>
    <row r="9" spans="2:24">
      <c r="B9" s="6"/>
      <c r="C9" s="7">
        <v>44178</v>
      </c>
      <c r="D9" s="8">
        <v>1.008</v>
      </c>
      <c r="E9" s="8">
        <v>0.108</v>
      </c>
      <c r="F9" s="8">
        <v>0.04</v>
      </c>
      <c r="G9" s="8">
        <v>0.03</v>
      </c>
      <c r="H9" s="8">
        <v>0.041</v>
      </c>
      <c r="I9" s="8">
        <v>0.03</v>
      </c>
      <c r="J9" s="41" t="s">
        <v>75</v>
      </c>
      <c r="K9" s="8"/>
      <c r="L9" s="9"/>
      <c r="M9" s="9"/>
      <c r="N9" s="9"/>
      <c r="O9" s="9"/>
      <c r="P9" s="9"/>
      <c r="Q9" s="48"/>
      <c r="T9" s="7">
        <v>44178</v>
      </c>
      <c r="U9" s="37">
        <v>25153</v>
      </c>
      <c r="X9" t="s">
        <v>76</v>
      </c>
    </row>
    <row r="10" spans="2:24">
      <c r="B10" s="6"/>
      <c r="C10" s="7">
        <v>44185</v>
      </c>
      <c r="D10" s="8">
        <v>0.369</v>
      </c>
      <c r="E10" s="8">
        <v>0.054</v>
      </c>
      <c r="F10" s="8">
        <v>0.021</v>
      </c>
      <c r="G10" s="8">
        <v>0.023</v>
      </c>
      <c r="H10" s="8">
        <v>0.018</v>
      </c>
      <c r="I10" s="8">
        <v>0.008</v>
      </c>
      <c r="J10" s="9"/>
      <c r="K10" s="9"/>
      <c r="L10" s="9"/>
      <c r="M10" s="9"/>
      <c r="N10" s="9"/>
      <c r="O10" s="9"/>
      <c r="P10" s="9"/>
      <c r="Q10" s="48"/>
      <c r="T10" s="7">
        <v>44185</v>
      </c>
      <c r="U10" s="37">
        <v>17830</v>
      </c>
      <c r="X10" s="49" t="s">
        <v>77</v>
      </c>
    </row>
    <row r="11" spans="2:24">
      <c r="B11" s="6"/>
      <c r="C11" s="7">
        <v>44192</v>
      </c>
      <c r="D11" s="8">
        <v>0.339</v>
      </c>
      <c r="E11" s="8">
        <v>0.051</v>
      </c>
      <c r="F11" s="8">
        <v>0.005</v>
      </c>
      <c r="G11" s="8">
        <v>0.02</v>
      </c>
      <c r="H11" s="8">
        <v>0.006</v>
      </c>
      <c r="I11" s="9"/>
      <c r="J11" s="9"/>
      <c r="K11" s="9"/>
      <c r="L11" s="9"/>
      <c r="M11" s="9"/>
      <c r="N11" s="9"/>
      <c r="O11" s="9"/>
      <c r="P11" s="9"/>
      <c r="Q11" s="48"/>
      <c r="T11" s="7">
        <v>44192</v>
      </c>
      <c r="U11" s="37">
        <v>16539</v>
      </c>
      <c r="X11" t="s">
        <v>78</v>
      </c>
    </row>
    <row r="12" spans="2:24">
      <c r="B12" s="6"/>
      <c r="C12" s="7">
        <v>44199</v>
      </c>
      <c r="D12" s="8">
        <v>0.228</v>
      </c>
      <c r="E12" s="8">
        <v>0.064</v>
      </c>
      <c r="F12" s="8">
        <v>0.027</v>
      </c>
      <c r="G12" s="8">
        <v>0.005</v>
      </c>
      <c r="H12" s="9"/>
      <c r="I12" s="9"/>
      <c r="J12" s="9"/>
      <c r="K12" s="9"/>
      <c r="L12" s="9"/>
      <c r="M12" s="9"/>
      <c r="N12" s="9"/>
      <c r="O12" s="9"/>
      <c r="P12" s="9"/>
      <c r="Q12" s="48"/>
      <c r="T12" s="7">
        <v>44199</v>
      </c>
      <c r="U12" s="37">
        <v>22774</v>
      </c>
      <c r="X12" t="s">
        <v>79</v>
      </c>
    </row>
    <row r="13" spans="2:24">
      <c r="B13" s="6"/>
      <c r="C13" s="7">
        <v>44206</v>
      </c>
      <c r="D13" s="8">
        <v>0.399</v>
      </c>
      <c r="E13" s="8">
        <v>0.059</v>
      </c>
      <c r="F13" s="8">
        <v>0.012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48"/>
      <c r="T13" s="7">
        <v>44206</v>
      </c>
      <c r="U13" s="37">
        <v>21452</v>
      </c>
      <c r="X13" t="s">
        <v>80</v>
      </c>
    </row>
    <row r="14" spans="2:24">
      <c r="B14" s="6"/>
      <c r="C14" s="7">
        <v>44213</v>
      </c>
      <c r="D14" s="8">
        <v>0.903</v>
      </c>
      <c r="E14" s="8">
        <v>0.122</v>
      </c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48"/>
      <c r="T14" s="7">
        <v>44213</v>
      </c>
      <c r="U14" s="37">
        <v>20782</v>
      </c>
      <c r="X14" t="s">
        <v>81</v>
      </c>
    </row>
    <row r="15" spans="2:24">
      <c r="B15" s="6"/>
      <c r="C15" s="7">
        <v>44220</v>
      </c>
      <c r="D15" s="10">
        <v>0.192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48"/>
      <c r="T15" s="7">
        <v>44220</v>
      </c>
      <c r="U15" s="37">
        <v>19560</v>
      </c>
      <c r="X15" s="49" t="s">
        <v>82</v>
      </c>
    </row>
    <row r="16" spans="2:24">
      <c r="B16" s="11"/>
      <c r="C16" s="12" t="s">
        <v>83</v>
      </c>
      <c r="D16" s="13" t="s">
        <v>84</v>
      </c>
      <c r="E16" s="13" t="s">
        <v>85</v>
      </c>
      <c r="F16" s="13" t="s">
        <v>86</v>
      </c>
      <c r="G16" s="13" t="s">
        <v>87</v>
      </c>
      <c r="H16" s="13" t="s">
        <v>88</v>
      </c>
      <c r="I16" s="13" t="s">
        <v>89</v>
      </c>
      <c r="J16" s="13" t="s">
        <v>90</v>
      </c>
      <c r="K16" s="13" t="s">
        <v>91</v>
      </c>
      <c r="L16" s="13" t="s">
        <v>92</v>
      </c>
      <c r="M16" s="13" t="s">
        <v>93</v>
      </c>
      <c r="N16" s="13" t="s">
        <v>94</v>
      </c>
      <c r="O16" s="13" t="s">
        <v>95</v>
      </c>
      <c r="P16" s="13" t="s">
        <v>95</v>
      </c>
      <c r="Q16" s="50"/>
      <c r="X16" s="49" t="s">
        <v>96</v>
      </c>
    </row>
    <row r="17" spans="24:24">
      <c r="X17" t="s">
        <v>97</v>
      </c>
    </row>
    <row r="18" spans="24:24">
      <c r="X18" t="s">
        <v>98</v>
      </c>
    </row>
    <row r="19" spans="8:24">
      <c r="H19" s="14"/>
      <c r="I19" s="14"/>
      <c r="J19" s="14"/>
      <c r="X19" t="s">
        <v>99</v>
      </c>
    </row>
    <row r="20" spans="3:24">
      <c r="C20" s="1"/>
      <c r="D20" s="1"/>
      <c r="E20" s="1"/>
      <c r="F20" s="1"/>
      <c r="G20" s="1"/>
      <c r="H20" s="3" t="s">
        <v>63</v>
      </c>
      <c r="I20" s="42"/>
      <c r="J20" s="42"/>
      <c r="K20" s="1"/>
      <c r="L20" s="1"/>
      <c r="M20" s="1"/>
      <c r="N20" s="1"/>
      <c r="O20" s="1"/>
      <c r="P20" s="1"/>
      <c r="X20" s="51" t="s">
        <v>100</v>
      </c>
    </row>
    <row r="21" spans="3:24">
      <c r="C21" s="4" t="s">
        <v>64</v>
      </c>
      <c r="D21" s="15">
        <v>0</v>
      </c>
      <c r="E21" s="15">
        <v>1</v>
      </c>
      <c r="F21" s="15">
        <v>2</v>
      </c>
      <c r="G21" s="15">
        <v>3</v>
      </c>
      <c r="H21" s="15">
        <v>4</v>
      </c>
      <c r="I21" s="15">
        <v>5</v>
      </c>
      <c r="J21" s="15">
        <v>6</v>
      </c>
      <c r="K21" s="15">
        <v>7</v>
      </c>
      <c r="L21" s="15">
        <v>8</v>
      </c>
      <c r="M21" s="15">
        <v>9</v>
      </c>
      <c r="N21" s="15">
        <v>10</v>
      </c>
      <c r="O21" s="15">
        <v>11</v>
      </c>
      <c r="P21" s="15">
        <v>12</v>
      </c>
      <c r="X21" t="s">
        <v>101</v>
      </c>
    </row>
    <row r="22" spans="3:24">
      <c r="C22" s="16">
        <v>44136</v>
      </c>
      <c r="D22" s="17" t="s">
        <v>102</v>
      </c>
      <c r="E22" s="18">
        <v>1264</v>
      </c>
      <c r="F22" s="18">
        <v>1531</v>
      </c>
      <c r="G22" s="18">
        <v>1793</v>
      </c>
      <c r="H22" s="18">
        <v>1953</v>
      </c>
      <c r="I22" s="18">
        <v>2106</v>
      </c>
      <c r="J22" s="18">
        <v>2271</v>
      </c>
      <c r="K22" s="18">
        <v>2296</v>
      </c>
      <c r="L22" s="18">
        <v>2304</v>
      </c>
      <c r="M22" s="18">
        <v>2318</v>
      </c>
      <c r="N22" s="18">
        <v>2341</v>
      </c>
      <c r="O22" s="18">
        <v>2356</v>
      </c>
      <c r="P22" s="18">
        <v>2374</v>
      </c>
      <c r="X22" s="52" t="s">
        <v>103</v>
      </c>
    </row>
    <row r="23" spans="3:24">
      <c r="C23" s="16">
        <v>44143</v>
      </c>
      <c r="D23" s="18">
        <v>1192</v>
      </c>
      <c r="E23" s="18">
        <v>1573</v>
      </c>
      <c r="F23" s="18">
        <v>1854</v>
      </c>
      <c r="G23" s="18">
        <v>2131</v>
      </c>
      <c r="H23" s="18">
        <v>2408</v>
      </c>
      <c r="I23" s="18">
        <v>2512</v>
      </c>
      <c r="J23" s="18">
        <v>2551</v>
      </c>
      <c r="K23" s="18">
        <v>2620</v>
      </c>
      <c r="L23" s="18">
        <v>2620</v>
      </c>
      <c r="M23" s="18">
        <v>2655</v>
      </c>
      <c r="N23" s="18">
        <v>2676</v>
      </c>
      <c r="O23" s="18">
        <v>2697</v>
      </c>
      <c r="P23" s="22"/>
      <c r="X23" t="s">
        <v>104</v>
      </c>
    </row>
    <row r="24" spans="3:24">
      <c r="C24" s="16">
        <v>44150</v>
      </c>
      <c r="D24" s="18">
        <v>1382</v>
      </c>
      <c r="E24" s="18">
        <v>1679</v>
      </c>
      <c r="F24" s="18">
        <v>1907</v>
      </c>
      <c r="G24" s="18">
        <v>2074</v>
      </c>
      <c r="H24" s="18">
        <v>2302</v>
      </c>
      <c r="I24" s="18">
        <v>2328</v>
      </c>
      <c r="J24" s="18">
        <v>2350</v>
      </c>
      <c r="K24" s="18">
        <v>2371</v>
      </c>
      <c r="L24" s="18">
        <v>2377</v>
      </c>
      <c r="M24" s="18">
        <v>2381</v>
      </c>
      <c r="N24" s="18">
        <v>2381</v>
      </c>
      <c r="O24" s="22"/>
      <c r="P24" s="22"/>
      <c r="X24" s="49" t="s">
        <v>105</v>
      </c>
    </row>
    <row r="25" spans="3:24">
      <c r="C25" s="16">
        <v>44157</v>
      </c>
      <c r="D25" s="18">
        <v>1647</v>
      </c>
      <c r="E25" s="18">
        <v>1883</v>
      </c>
      <c r="F25" s="18">
        <v>2108</v>
      </c>
      <c r="G25" s="18">
        <v>2227</v>
      </c>
      <c r="H25" s="18">
        <v>2264</v>
      </c>
      <c r="I25" s="18">
        <v>2277</v>
      </c>
      <c r="J25" s="18">
        <v>2283</v>
      </c>
      <c r="K25" s="18">
        <v>2294</v>
      </c>
      <c r="L25" s="18">
        <v>2329</v>
      </c>
      <c r="M25" s="18">
        <v>2333</v>
      </c>
      <c r="N25" s="22"/>
      <c r="O25" s="22"/>
      <c r="P25" s="22"/>
      <c r="X25" s="49" t="s">
        <v>106</v>
      </c>
    </row>
    <row r="26" spans="3:24">
      <c r="C26" s="16">
        <v>44164</v>
      </c>
      <c r="D26" s="18">
        <v>1319</v>
      </c>
      <c r="E26" s="18">
        <v>1566</v>
      </c>
      <c r="F26" s="18">
        <v>1756</v>
      </c>
      <c r="G26" s="18">
        <v>1893</v>
      </c>
      <c r="H26" s="18">
        <v>1915</v>
      </c>
      <c r="I26" s="18">
        <v>1937</v>
      </c>
      <c r="J26" s="18">
        <v>1959</v>
      </c>
      <c r="K26" s="18">
        <v>1964</v>
      </c>
      <c r="L26" s="18">
        <v>1969</v>
      </c>
      <c r="M26" s="22"/>
      <c r="N26" s="22"/>
      <c r="O26" s="22"/>
      <c r="P26" s="22"/>
      <c r="X26" t="s">
        <v>107</v>
      </c>
    </row>
    <row r="27" spans="3:24">
      <c r="C27" s="16">
        <v>44171</v>
      </c>
      <c r="D27" s="18">
        <v>1203</v>
      </c>
      <c r="E27" s="18">
        <v>1532</v>
      </c>
      <c r="F27" s="18">
        <v>1722</v>
      </c>
      <c r="G27" s="18">
        <v>1762</v>
      </c>
      <c r="H27" s="18">
        <v>1872</v>
      </c>
      <c r="I27" s="18">
        <v>1902</v>
      </c>
      <c r="J27" s="18">
        <v>1914</v>
      </c>
      <c r="K27" s="18">
        <v>1926</v>
      </c>
      <c r="L27" s="22"/>
      <c r="M27" s="22"/>
      <c r="N27" s="22"/>
      <c r="O27" s="22"/>
      <c r="P27" s="22"/>
      <c r="X27" t="s">
        <v>108</v>
      </c>
    </row>
    <row r="28" spans="3:24">
      <c r="C28" s="16">
        <v>44178</v>
      </c>
      <c r="D28" s="18">
        <v>1008</v>
      </c>
      <c r="E28" s="18">
        <v>1116</v>
      </c>
      <c r="F28" s="18">
        <v>1156</v>
      </c>
      <c r="G28" s="18">
        <v>1186</v>
      </c>
      <c r="H28" s="18">
        <v>1216</v>
      </c>
      <c r="I28" s="18">
        <v>1217</v>
      </c>
      <c r="J28" s="18">
        <v>1217</v>
      </c>
      <c r="K28" s="22"/>
      <c r="L28" s="22"/>
      <c r="M28" s="22"/>
      <c r="N28" s="22"/>
      <c r="O28" s="22"/>
      <c r="P28" s="22"/>
      <c r="X28" t="s">
        <v>109</v>
      </c>
    </row>
    <row r="29" spans="3:24">
      <c r="C29" s="16">
        <v>44185</v>
      </c>
      <c r="D29" s="19" t="s">
        <v>110</v>
      </c>
      <c r="E29" s="19" t="s">
        <v>111</v>
      </c>
      <c r="F29" s="20" t="s">
        <v>112</v>
      </c>
      <c r="G29" s="20" t="s">
        <v>113</v>
      </c>
      <c r="H29" s="20" t="s">
        <v>114</v>
      </c>
      <c r="I29" s="20" t="s">
        <v>115</v>
      </c>
      <c r="J29" s="22"/>
      <c r="K29" s="22"/>
      <c r="L29" s="22"/>
      <c r="M29" s="22"/>
      <c r="N29" s="22"/>
      <c r="O29" s="22"/>
      <c r="P29" s="22"/>
      <c r="X29" t="s">
        <v>116</v>
      </c>
    </row>
    <row r="30" spans="3:24">
      <c r="C30" s="16">
        <v>44192</v>
      </c>
      <c r="D30" s="19" t="s">
        <v>117</v>
      </c>
      <c r="E30" s="21" t="s">
        <v>118</v>
      </c>
      <c r="F30" s="20" t="s">
        <v>119</v>
      </c>
      <c r="G30" s="20" t="s">
        <v>120</v>
      </c>
      <c r="H30" s="20" t="s">
        <v>121</v>
      </c>
      <c r="I30" s="22"/>
      <c r="J30" s="22"/>
      <c r="K30" s="22"/>
      <c r="L30" s="22"/>
      <c r="M30" s="22"/>
      <c r="N30" s="22"/>
      <c r="O30" s="22"/>
      <c r="P30" s="22"/>
      <c r="X30" s="49" t="s">
        <v>122</v>
      </c>
    </row>
    <row r="31" spans="3:24">
      <c r="C31" s="16">
        <v>44199</v>
      </c>
      <c r="D31" s="21" t="s">
        <v>123</v>
      </c>
      <c r="E31" s="19" t="s">
        <v>124</v>
      </c>
      <c r="F31" s="19" t="s">
        <v>125</v>
      </c>
      <c r="G31" s="19" t="s">
        <v>126</v>
      </c>
      <c r="H31" s="22"/>
      <c r="I31" s="22"/>
      <c r="J31" s="22"/>
      <c r="K31" s="22"/>
      <c r="L31" s="22"/>
      <c r="M31" s="22"/>
      <c r="N31" s="22"/>
      <c r="O31" s="22"/>
      <c r="P31" s="22"/>
      <c r="X31" t="s">
        <v>127</v>
      </c>
    </row>
    <row r="32" spans="3:24">
      <c r="C32" s="16">
        <v>44206</v>
      </c>
      <c r="D32" s="20" t="s">
        <v>128</v>
      </c>
      <c r="E32" s="20" t="s">
        <v>129</v>
      </c>
      <c r="F32" s="20" t="s">
        <v>130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X32" t="s">
        <v>131</v>
      </c>
    </row>
    <row r="33" spans="3:24">
      <c r="C33" s="16">
        <v>44213</v>
      </c>
      <c r="D33" s="17" t="s">
        <v>132</v>
      </c>
      <c r="E33" s="18">
        <v>1025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X33" t="s">
        <v>133</v>
      </c>
    </row>
    <row r="34" spans="3:16">
      <c r="C34" s="16">
        <v>44220</v>
      </c>
      <c r="D34" s="23" t="s">
        <v>134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3:24">
      <c r="C35" s="24" t="s">
        <v>135</v>
      </c>
      <c r="D35" s="25" t="s">
        <v>84</v>
      </c>
      <c r="E35" s="26">
        <v>1055</v>
      </c>
      <c r="F35" s="26">
        <v>1184</v>
      </c>
      <c r="G35" s="26">
        <v>1284</v>
      </c>
      <c r="H35" s="26">
        <v>1366</v>
      </c>
      <c r="I35" s="26">
        <v>1414</v>
      </c>
      <c r="J35" s="26">
        <v>1453</v>
      </c>
      <c r="K35" s="26">
        <v>1476</v>
      </c>
      <c r="L35" s="26">
        <v>1493</v>
      </c>
      <c r="M35" s="26">
        <v>1502</v>
      </c>
      <c r="N35" s="26">
        <v>1523</v>
      </c>
      <c r="O35" s="26">
        <v>1541</v>
      </c>
      <c r="P35" s="26">
        <v>1559</v>
      </c>
      <c r="Q35" s="22"/>
      <c r="X35" s="49" t="s">
        <v>136</v>
      </c>
    </row>
    <row r="36" spans="3:24">
      <c r="C36" s="24" t="s">
        <v>137</v>
      </c>
      <c r="D36" s="27"/>
      <c r="E36" s="25" t="s">
        <v>138</v>
      </c>
      <c r="F36" s="25" t="s">
        <v>139</v>
      </c>
      <c r="G36" s="25" t="s">
        <v>140</v>
      </c>
      <c r="H36" s="25" t="s">
        <v>141</v>
      </c>
      <c r="I36" s="25" t="s">
        <v>142</v>
      </c>
      <c r="J36" s="25" t="s">
        <v>143</v>
      </c>
      <c r="K36" s="25" t="s">
        <v>144</v>
      </c>
      <c r="L36" s="25" t="s">
        <v>145</v>
      </c>
      <c r="M36" s="25" t="s">
        <v>146</v>
      </c>
      <c r="N36" s="25" t="s">
        <v>147</v>
      </c>
      <c r="O36" s="25" t="s">
        <v>145</v>
      </c>
      <c r="P36" s="25" t="s">
        <v>148</v>
      </c>
      <c r="Q36" s="22"/>
      <c r="X36" s="53" t="s">
        <v>149</v>
      </c>
    </row>
    <row r="37" spans="24:24">
      <c r="X37" s="49" t="s">
        <v>150</v>
      </c>
    </row>
    <row r="38" spans="24:24">
      <c r="X38" s="49" t="s">
        <v>151</v>
      </c>
    </row>
    <row r="39" spans="24:24">
      <c r="X39" s="49" t="s">
        <v>152</v>
      </c>
    </row>
    <row r="40" spans="3:24">
      <c r="C40" s="1"/>
      <c r="D40" s="1"/>
      <c r="E40" s="1"/>
      <c r="F40" s="1"/>
      <c r="G40" s="1"/>
      <c r="H40" s="3" t="s">
        <v>63</v>
      </c>
      <c r="I40" s="42"/>
      <c r="J40" s="42"/>
      <c r="K40" s="1"/>
      <c r="L40" s="1"/>
      <c r="M40" s="1"/>
      <c r="N40" s="1"/>
      <c r="O40" s="1"/>
      <c r="P40" s="1"/>
      <c r="X40" s="51" t="s">
        <v>153</v>
      </c>
    </row>
    <row r="41" spans="3:24">
      <c r="C41" s="4" t="s">
        <v>64</v>
      </c>
      <c r="D41" s="28">
        <v>0</v>
      </c>
      <c r="E41" s="28">
        <v>1</v>
      </c>
      <c r="F41" s="28">
        <v>2</v>
      </c>
      <c r="G41" s="28">
        <v>3</v>
      </c>
      <c r="H41" s="28">
        <v>4</v>
      </c>
      <c r="I41" s="28">
        <v>5</v>
      </c>
      <c r="J41" s="28">
        <v>6</v>
      </c>
      <c r="K41" s="28">
        <v>7</v>
      </c>
      <c r="L41" s="28">
        <v>8</v>
      </c>
      <c r="M41" s="28">
        <v>9</v>
      </c>
      <c r="N41" s="28">
        <v>10</v>
      </c>
      <c r="O41" s="28">
        <v>11</v>
      </c>
      <c r="P41" s="28">
        <v>12</v>
      </c>
      <c r="X41" s="49" t="s">
        <v>154</v>
      </c>
    </row>
    <row r="42" spans="3:16">
      <c r="C42" s="16">
        <v>44136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18">
        <v>2374</v>
      </c>
    </row>
    <row r="43" spans="3:16">
      <c r="C43" s="16">
        <v>44143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18">
        <v>2697</v>
      </c>
      <c r="P43" s="18">
        <v>2729</v>
      </c>
    </row>
    <row r="44" spans="3:16">
      <c r="C44" s="16">
        <v>44150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18">
        <v>2381</v>
      </c>
      <c r="O44" s="22">
        <v>2.409</v>
      </c>
      <c r="P44" s="22">
        <v>2.437</v>
      </c>
    </row>
    <row r="45" spans="3:16">
      <c r="C45" s="16">
        <v>44157</v>
      </c>
      <c r="D45" s="22"/>
      <c r="E45" s="22"/>
      <c r="F45" s="22"/>
      <c r="G45" s="22"/>
      <c r="H45" s="22"/>
      <c r="I45" s="22"/>
      <c r="J45" s="22"/>
      <c r="K45" s="22"/>
      <c r="L45" s="22"/>
      <c r="M45" s="18">
        <v>2333</v>
      </c>
      <c r="N45" s="22">
        <v>2.366</v>
      </c>
      <c r="O45" s="22">
        <v>2.394</v>
      </c>
      <c r="P45" s="22">
        <v>2.423</v>
      </c>
    </row>
    <row r="46" spans="3:16">
      <c r="C46" s="16">
        <v>44164</v>
      </c>
      <c r="D46" s="22"/>
      <c r="E46" s="22"/>
      <c r="F46" s="22"/>
      <c r="G46" s="22"/>
      <c r="H46" s="22"/>
      <c r="I46" s="22"/>
      <c r="J46" s="22"/>
      <c r="K46" s="22"/>
      <c r="L46" s="18">
        <v>1969</v>
      </c>
      <c r="M46" s="22">
        <v>1.981</v>
      </c>
      <c r="N46" s="22">
        <v>2.009</v>
      </c>
      <c r="O46" s="22">
        <v>2.032</v>
      </c>
      <c r="P46" s="22">
        <v>2.056</v>
      </c>
    </row>
    <row r="47" spans="3:16">
      <c r="C47" s="16">
        <v>44171</v>
      </c>
      <c r="D47" s="22"/>
      <c r="E47" s="22"/>
      <c r="F47" s="22"/>
      <c r="G47" s="22"/>
      <c r="H47" s="22"/>
      <c r="I47" s="22"/>
      <c r="J47" s="22"/>
      <c r="K47" s="18">
        <v>1926</v>
      </c>
      <c r="L47" s="22">
        <v>1.948</v>
      </c>
      <c r="M47" s="22">
        <v>1.96</v>
      </c>
      <c r="N47" s="22">
        <v>1.987</v>
      </c>
      <c r="O47" s="22">
        <v>2.01</v>
      </c>
      <c r="P47" s="22">
        <v>2.034</v>
      </c>
    </row>
    <row r="48" spans="3:16">
      <c r="C48" s="16">
        <v>44178</v>
      </c>
      <c r="D48" s="22"/>
      <c r="E48" s="22"/>
      <c r="F48" s="22"/>
      <c r="G48" s="22"/>
      <c r="H48" s="22"/>
      <c r="I48" s="22"/>
      <c r="J48" s="18">
        <v>1217</v>
      </c>
      <c r="K48" s="22">
        <v>1.237</v>
      </c>
      <c r="L48" s="22">
        <v>1.251</v>
      </c>
      <c r="M48" s="22">
        <v>1.258</v>
      </c>
      <c r="N48" s="22">
        <v>1.276</v>
      </c>
      <c r="O48" s="22">
        <v>1.291</v>
      </c>
      <c r="P48" s="22">
        <v>1.306</v>
      </c>
    </row>
    <row r="49" spans="3:16">
      <c r="C49" s="16">
        <v>44185</v>
      </c>
      <c r="D49" s="22"/>
      <c r="E49" s="22"/>
      <c r="F49" s="22"/>
      <c r="G49" s="22"/>
      <c r="H49" s="22"/>
      <c r="I49" s="17" t="s">
        <v>115</v>
      </c>
      <c r="J49" s="22">
        <v>0.462</v>
      </c>
      <c r="K49" s="22">
        <v>0.469</v>
      </c>
      <c r="L49" s="22">
        <v>0.474</v>
      </c>
      <c r="M49" s="22">
        <v>0.477</v>
      </c>
      <c r="N49" s="22">
        <v>0.484</v>
      </c>
      <c r="O49" s="22">
        <v>0.49</v>
      </c>
      <c r="P49" s="22">
        <v>0.496</v>
      </c>
    </row>
    <row r="50" spans="3:16">
      <c r="C50" s="16">
        <v>44192</v>
      </c>
      <c r="D50" s="22"/>
      <c r="E50" s="22"/>
      <c r="F50" s="22"/>
      <c r="G50" s="22"/>
      <c r="H50" s="17" t="s">
        <v>121</v>
      </c>
      <c r="I50" s="22">
        <v>0.445</v>
      </c>
      <c r="J50" s="22">
        <v>0.457</v>
      </c>
      <c r="K50" s="22">
        <v>0.464</v>
      </c>
      <c r="L50" s="22">
        <v>0.469</v>
      </c>
      <c r="M50" s="22">
        <v>0.472</v>
      </c>
      <c r="N50" s="22">
        <v>0.479</v>
      </c>
      <c r="O50" s="22">
        <v>0.484</v>
      </c>
      <c r="P50" s="22">
        <v>0.49</v>
      </c>
    </row>
    <row r="51" spans="3:16">
      <c r="C51" s="16">
        <v>44199</v>
      </c>
      <c r="D51" s="22"/>
      <c r="E51" s="22"/>
      <c r="F51" s="22"/>
      <c r="G51" s="29" t="s">
        <v>126</v>
      </c>
      <c r="H51" s="22">
        <v>0.334</v>
      </c>
      <c r="I51" s="22">
        <v>0.346</v>
      </c>
      <c r="J51" s="22">
        <v>0.355</v>
      </c>
      <c r="K51" s="22">
        <v>0.361</v>
      </c>
      <c r="L51" s="22">
        <v>0.365</v>
      </c>
      <c r="M51" s="22">
        <v>0.367</v>
      </c>
      <c r="N51" s="22">
        <v>0.372</v>
      </c>
      <c r="O51" s="22">
        <v>0.376</v>
      </c>
      <c r="P51" s="22">
        <v>0.381</v>
      </c>
    </row>
    <row r="52" spans="3:16">
      <c r="C52" s="16">
        <v>44206</v>
      </c>
      <c r="D52" s="22"/>
      <c r="E52" s="22"/>
      <c r="F52" s="17" t="s">
        <v>130</v>
      </c>
      <c r="G52" s="22">
        <v>0.5</v>
      </c>
      <c r="H52" s="22">
        <v>0.532</v>
      </c>
      <c r="I52" s="22">
        <v>0.551</v>
      </c>
      <c r="J52" s="22">
        <v>0.566</v>
      </c>
      <c r="K52" s="22">
        <v>0.575</v>
      </c>
      <c r="L52" s="22">
        <v>0.581</v>
      </c>
      <c r="M52" s="22">
        <v>0.585</v>
      </c>
      <c r="N52" s="22">
        <v>0.593</v>
      </c>
      <c r="O52" s="22">
        <v>0.6</v>
      </c>
      <c r="P52" s="22">
        <v>0.607</v>
      </c>
    </row>
    <row r="53" spans="3:16">
      <c r="C53" s="16">
        <v>44213</v>
      </c>
      <c r="D53" s="22"/>
      <c r="E53" s="18">
        <v>1025</v>
      </c>
      <c r="F53" s="22">
        <v>1.151</v>
      </c>
      <c r="G53" s="22">
        <v>1.247</v>
      </c>
      <c r="H53" s="22">
        <v>1.326</v>
      </c>
      <c r="I53" s="22">
        <v>1.373</v>
      </c>
      <c r="J53" s="22">
        <v>1.411</v>
      </c>
      <c r="K53" s="22">
        <v>1.434</v>
      </c>
      <c r="L53" s="22">
        <v>1.45</v>
      </c>
      <c r="M53" s="22">
        <v>1.459</v>
      </c>
      <c r="N53" s="22">
        <v>1.48</v>
      </c>
      <c r="O53" s="22">
        <v>1.497</v>
      </c>
      <c r="P53" s="22">
        <v>1.515</v>
      </c>
    </row>
    <row r="54" spans="3:16">
      <c r="C54" s="16">
        <v>44220</v>
      </c>
      <c r="D54" s="30" t="s">
        <v>134</v>
      </c>
      <c r="E54" s="30" t="s">
        <v>155</v>
      </c>
      <c r="F54" s="30" t="s">
        <v>156</v>
      </c>
      <c r="G54" s="30" t="s">
        <v>157</v>
      </c>
      <c r="H54" s="29" t="s">
        <v>158</v>
      </c>
      <c r="I54" s="29" t="s">
        <v>159</v>
      </c>
      <c r="J54" s="29" t="s">
        <v>160</v>
      </c>
      <c r="K54" s="29" t="s">
        <v>161</v>
      </c>
      <c r="L54" s="29" t="s">
        <v>162</v>
      </c>
      <c r="M54" s="29" t="s">
        <v>163</v>
      </c>
      <c r="N54" s="29" t="s">
        <v>164</v>
      </c>
      <c r="O54" s="29" t="s">
        <v>165</v>
      </c>
      <c r="P54" s="29" t="s">
        <v>166</v>
      </c>
    </row>
    <row r="55" spans="3:16">
      <c r="C55" s="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24" t="s">
        <v>167</v>
      </c>
      <c r="P55" s="26">
        <v>1025</v>
      </c>
    </row>
    <row r="56" spans="5:16">
      <c r="E56" s="32"/>
      <c r="F56" s="32"/>
      <c r="G56" s="32"/>
      <c r="H56" s="32"/>
      <c r="I56" s="33"/>
      <c r="J56" s="32"/>
      <c r="K56" s="43"/>
      <c r="L56" s="33"/>
      <c r="M56" s="32"/>
      <c r="N56" s="32"/>
      <c r="O56" s="32"/>
      <c r="P56" s="32"/>
    </row>
    <row r="58" spans="4:16">
      <c r="D58" s="33"/>
      <c r="E58" s="33"/>
      <c r="F58" s="33"/>
      <c r="G58" s="33"/>
      <c r="H58" s="33"/>
      <c r="I58" s="33"/>
      <c r="J58" s="33"/>
      <c r="K58" s="33"/>
      <c r="L58" s="33"/>
      <c r="M58" s="32"/>
      <c r="N58" s="32"/>
      <c r="O58" s="32"/>
      <c r="P58" s="32"/>
    </row>
    <row r="62" spans="3:6">
      <c r="C62" s="25" t="s">
        <v>168</v>
      </c>
      <c r="D62" s="34" t="s">
        <v>169</v>
      </c>
      <c r="E62" s="35"/>
      <c r="F62" s="36"/>
    </row>
    <row r="63" spans="3:6">
      <c r="C63" s="7">
        <v>44136</v>
      </c>
      <c r="D63" s="37">
        <v>20078</v>
      </c>
      <c r="E63" s="37"/>
      <c r="F63" s="38"/>
    </row>
    <row r="64" spans="3:6">
      <c r="C64" s="7">
        <v>44143</v>
      </c>
      <c r="D64" s="37">
        <v>16232</v>
      </c>
      <c r="E64" s="37"/>
      <c r="F64" s="38"/>
    </row>
    <row r="65" spans="3:6">
      <c r="C65" s="7">
        <v>44150</v>
      </c>
      <c r="D65" s="37">
        <v>17845</v>
      </c>
      <c r="E65" s="37"/>
      <c r="F65" s="38"/>
    </row>
    <row r="66" spans="3:6">
      <c r="C66" s="7">
        <v>44157</v>
      </c>
      <c r="D66" s="37">
        <v>19637</v>
      </c>
      <c r="E66" s="37"/>
      <c r="F66" s="38"/>
    </row>
    <row r="67" spans="3:6">
      <c r="C67" s="7">
        <v>44164</v>
      </c>
      <c r="D67" s="37">
        <v>21991</v>
      </c>
      <c r="E67" s="37"/>
      <c r="F67" s="38"/>
    </row>
    <row r="68" spans="3:6">
      <c r="C68" s="7">
        <v>44171</v>
      </c>
      <c r="D68" s="37">
        <v>28069</v>
      </c>
      <c r="E68" s="37"/>
      <c r="F68" s="38"/>
    </row>
    <row r="69" spans="3:6">
      <c r="C69" s="7">
        <v>44178</v>
      </c>
      <c r="D69" s="37">
        <v>25153</v>
      </c>
      <c r="E69" s="37"/>
      <c r="F69" s="38"/>
    </row>
    <row r="70" spans="3:6">
      <c r="C70" s="7">
        <v>44185</v>
      </c>
      <c r="D70" s="37">
        <v>17830</v>
      </c>
      <c r="E70" s="37"/>
      <c r="F70" s="38"/>
    </row>
    <row r="71" spans="3:6">
      <c r="C71" s="7">
        <v>44192</v>
      </c>
      <c r="D71" s="37">
        <v>16539</v>
      </c>
      <c r="E71" s="37"/>
      <c r="F71" s="38"/>
    </row>
    <row r="72" spans="3:6">
      <c r="C72" s="7">
        <v>44199</v>
      </c>
      <c r="D72" s="37">
        <v>22774</v>
      </c>
      <c r="E72" s="37"/>
      <c r="F72" s="38"/>
    </row>
    <row r="73" spans="3:6">
      <c r="C73" s="7">
        <v>44206</v>
      </c>
      <c r="D73" s="37">
        <v>21452</v>
      </c>
      <c r="E73" s="37"/>
      <c r="F73" s="38"/>
    </row>
    <row r="74" spans="3:6">
      <c r="C74" s="7">
        <v>44213</v>
      </c>
      <c r="D74" s="37">
        <v>20782</v>
      </c>
      <c r="E74" s="37"/>
      <c r="F74" s="38"/>
    </row>
    <row r="75" spans="3:6">
      <c r="C75" s="7">
        <v>44220</v>
      </c>
      <c r="D75" s="37">
        <v>19560</v>
      </c>
      <c r="E75" s="37"/>
      <c r="F75" s="38"/>
    </row>
    <row r="76" spans="3:6">
      <c r="C76" s="54"/>
      <c r="D76" s="55"/>
      <c r="E76" s="55"/>
      <c r="F76" s="56"/>
    </row>
  </sheetData>
  <conditionalFormatting sqref="P42">
    <cfRule type="colorScale" priority="22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21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20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19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O43">
    <cfRule type="colorScale" priority="26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25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24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23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N44">
    <cfRule type="colorScale" priority="30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29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28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27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M45">
    <cfRule type="colorScale" priority="34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33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32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31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L46">
    <cfRule type="colorScale" priority="38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37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36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35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K47">
    <cfRule type="colorScale" priority="42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41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40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39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J48">
    <cfRule type="colorScale" priority="46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45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44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43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I49">
    <cfRule type="colorScale" priority="50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49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48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47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H50">
    <cfRule type="colorScale" priority="54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53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52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51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G51">
    <cfRule type="colorScale" priority="58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57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56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55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F52">
    <cfRule type="colorScale" priority="62">
      <colorScale>
        <cfvo type="num" val="&quot;0,1&quot;"/>
        <cfvo type="num" val="&quot;1,4&quot;"/>
        <cfvo type="num" val="&quot;2,7&quot;"/>
        <color rgb="FFF8696B"/>
        <color rgb="FFFFEB84"/>
        <color rgb="FF63BE7B"/>
      </colorScale>
    </cfRule>
    <cfRule type="colorScale" priority="61">
      <colorScale>
        <cfvo type="num" val="0"/>
        <cfvo type="num" val="&quot;1,5&quot;"/>
        <cfvo type="num" val="3"/>
        <color rgb="FFF8696B"/>
        <color rgb="FFFFEB84"/>
        <color rgb="FF63BE7B"/>
      </colorScale>
    </cfRule>
    <cfRule type="colorScale" priority="60">
      <colorScale>
        <cfvo type="num" val="0"/>
        <cfvo type="num" val="&quot;0,228&quot;"/>
        <cfvo type="num" val="2697"/>
        <color rgb="FFF8696B"/>
        <color rgb="FFFFEB84"/>
        <color rgb="FF63BE7B"/>
      </colorScale>
    </cfRule>
    <cfRule type="colorScale" priority="59">
      <colorScale>
        <cfvo type="num" val="&quot;0,001&quot;"/>
        <cfvo type="percentile" val="50"/>
        <cfvo type="num" val="2700"/>
        <color rgb="FFF8696B"/>
        <color rgb="FFFFEB84"/>
        <color rgb="FF63BE7B"/>
      </colorScale>
    </cfRule>
  </conditionalFormatting>
  <conditionalFormatting sqref="D54:P5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:D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P15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P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:P5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clv.sql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Namai</dc:creator>
  <cp:lastModifiedBy>Rugilė Čeičytė</cp:lastModifiedBy>
  <dcterms:created xsi:type="dcterms:W3CDTF">2025-05-05T07:57:00Z</dcterms:created>
  <dcterms:modified xsi:type="dcterms:W3CDTF">2025-05-06T18:17:59Z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BF2EB442D9B14965823912DEBB74FF0C_13</vt:lpwstr>
  </property>
  <property fmtid="{D5CDD505-2E9C-101B-9397-08002B2CF9AE}" pid="3" name="KSOProductBuildVer">
    <vt:lpwstr>1033-12.2.0.20795</vt:lpwstr>
  </property>
</Properties>
</file>